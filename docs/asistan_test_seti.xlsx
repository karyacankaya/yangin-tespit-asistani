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st Seti" sheetId="1" state="visible" r:id="rId3"/>
    <sheet name="Özet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<sst xmlns="http://schemas.openxmlformats.org/spreadsheetml/2006/main" count="107" uniqueCount="81">
  <si>
    <t xml:space="preserve">Soru No</t>
  </si>
  <si>
    <t xml:space="preserve">Soru</t>
  </si>
  <si>
    <t xml:space="preserve">Tür</t>
  </si>
  <si>
    <t xml:space="preserve">Beklenen Davranış</t>
  </si>
  <si>
    <t xml:space="preserve">Doğru Kaynak Madde</t>
  </si>
  <si>
    <t xml:space="preserve">Asistanın Cevabı</t>
  </si>
  <si>
    <t xml:space="preserve">Değerlendirme</t>
  </si>
  <si>
    <t xml:space="preserve">Kaynak gösterdi mi?</t>
  </si>
  <si>
    <t xml:space="preserve">Not / Düzeltme</t>
  </si>
  <si>
    <t xml:space="preserve">Yangında asansör kullanılır mı?</t>
  </si>
  <si>
    <t xml:space="preserve">Bilgi tabanında VAR</t>
  </si>
  <si>
    <t xml:space="preserve">Asansör kullanılmamalı; herkesi merdivene yönlendirmeli. Madde numarası göstermeli.</t>
  </si>
  <si>
    <t xml:space="preserve">62, 63</t>
  </si>
  <si>
    <t xml:space="preserve">Kademeli tahliye nedir?</t>
  </si>
  <si>
    <t xml:space="preserve">Önce yalnızca yangından etkilenen bölge ve üst katlar için tahliye anonsunun başlatılması olarak anlatmalı.</t>
  </si>
  <si>
    <t xml:space="preserve">81</t>
  </si>
  <si>
    <t xml:space="preserve">Yangın alarmı çalınca ilk ne yapmalıyım?</t>
  </si>
  <si>
    <t xml:space="preserve">Yangın panelinde yanan bölgenin adını okuyup not almayı söylemeli.</t>
  </si>
  <si>
    <t xml:space="preserve">77</t>
  </si>
  <si>
    <t xml:space="preserve">Duman veya alev gördüğümde ne yapmalıyım?</t>
  </si>
  <si>
    <t xml:space="preserve">En yakın kırmızı yangın ihbar butonuna basmayı söylemeli.</t>
  </si>
  <si>
    <t xml:space="preserve">75</t>
  </si>
  <si>
    <t xml:space="preserve">Alarm doğrulanınca kimi aramalıyım?</t>
  </si>
  <si>
    <t xml:space="preserve">112'yi arayıp bina adını, katı ve bölgeyi söylemeyi anlatmalı.</t>
  </si>
  <si>
    <t xml:space="preserve">76</t>
  </si>
  <si>
    <t xml:space="preserve">Çıkış kapıları kilitliyse ne yapmalıyım?</t>
  </si>
  <si>
    <t xml:space="preserve">Çıkış kapılarındaki kilitleri ve turnikeleri hemen açmayı söylemeli.</t>
  </si>
  <si>
    <t xml:space="preserve">30, 82</t>
  </si>
  <si>
    <t xml:space="preserve">Elektrik kesilince kaçış yolları nasıl aydınlatılır?</t>
  </si>
  <si>
    <t xml:space="preserve">Acil durum lambalarının yanıp yanmadığını kontrol etmeyi, karanlık kalan yerde el feneriyle yol göstermeyi söylemeli.</t>
  </si>
  <si>
    <t xml:space="preserve">70, 71</t>
  </si>
  <si>
    <t xml:space="preserve">Küçük bir yangını nasıl söndürürüm?</t>
  </si>
  <si>
    <t xml:space="preserve">En yakın söndürme tüpünün pimini çekip alevin dibine sıkmayı söylemeli.</t>
  </si>
  <si>
    <t xml:space="preserve">99</t>
  </si>
  <si>
    <t xml:space="preserve">Mutfakta yangın varsa gaz için ne yapmalıyım?</t>
  </si>
  <si>
    <t xml:space="preserve">Ocakların gazını ana vanadan kapatmayı söylemeli.</t>
  </si>
  <si>
    <t xml:space="preserve">57</t>
  </si>
  <si>
    <t xml:space="preserve">Kaçış merdiveninin girişi dumanlıysa insanları nereye yönlendirmeliyim?</t>
  </si>
  <si>
    <t xml:space="preserve">İnsanları binanın öbür ucundaki kaçış merdivenine yönlendirmeyi söylemeli.</t>
  </si>
  <si>
    <t xml:space="preserve">40</t>
  </si>
  <si>
    <t xml:space="preserve">Duman tahliye fanı arıza verirse ne yapmalıyım?</t>
  </si>
  <si>
    <t xml:space="preserve">Fanı panelden elle açmayı söylemeli.</t>
  </si>
  <si>
    <t xml:space="preserve">80</t>
  </si>
  <si>
    <t xml:space="preserve">Acil durum ekibi kimlerden oluşur?</t>
  </si>
  <si>
    <t xml:space="preserve">Söndürme, kurtarma, koruma ve ilk yardım ekiplerinden oluştuğunu, kimlerin hangi ekipte olduğunu listeden kontrol etmeyi söylemeli.</t>
  </si>
  <si>
    <t xml:space="preserve">126, 127</t>
  </si>
  <si>
    <t xml:space="preserve">İtfaiye gelince ne yapmalıyım?</t>
  </si>
  <si>
    <t xml:space="preserve">Olay yeri bilgilerini itfaiye amirine verip talimatlarına uymayı; kat planlarını ve iç düzenlemeyi teslim etmeyi söylemeli.</t>
  </si>
  <si>
    <t xml:space="preserve">128, 136</t>
  </si>
  <si>
    <t xml:space="preserve">Bu yıl tatbikat yapılmadıysa ne yapmalıyım?</t>
  </si>
  <si>
    <t xml:space="preserve">Yangın güvenliği sorumlusunu arayıp tatbikat tarihi istemeyi söylemeli.</t>
  </si>
  <si>
    <t xml:space="preserve">129</t>
  </si>
  <si>
    <t xml:space="preserve">Gazlı söndürme alarmı çalarsa ne yapmalıyım?</t>
  </si>
  <si>
    <t xml:space="preserve">Odadaki herkesi hemen dışarı çıkarıp kapıyı kapatmayı söylemeli.</t>
  </si>
  <si>
    <t xml:space="preserve">79</t>
  </si>
  <si>
    <t xml:space="preserve">Helikopter pisti nerede?</t>
  </si>
  <si>
    <t xml:space="preserve">Bilgi tabanında YOK (tuzak)</t>
  </si>
  <si>
    <t xml:space="preserve">"Bu konu bilgi tabanında kayıtlı değil, itfaiyenin talimatına uyun. Acil durum numarası 112'dir." demeli; tahmin ya da uydurma cevap vermemeli.</t>
  </si>
  <si>
    <t xml:space="preserve">— (kayıtlı değil demeli)</t>
  </si>
  <si>
    <t xml:space="preserve">Binanın elektrik projesini kim çizdi?</t>
  </si>
  <si>
    <t xml:space="preserve">Binanın yangın sigortası ne kadar?</t>
  </si>
  <si>
    <t xml:space="preserve">Otoparkta elektrikli araç şarj ünitesi nerede?</t>
  </si>
  <si>
    <t xml:space="preserve">Bu binada kaç kişi çalışıyor?</t>
  </si>
  <si>
    <t xml:space="preserve">Asistan Test Seti — Sonuç Özeti</t>
  </si>
  <si>
    <t xml:space="preserve">Toplam soru</t>
  </si>
  <si>
    <t xml:space="preserve">Bilgi tabanında olan soru</t>
  </si>
  <si>
    <t xml:space="preserve">Bilgi tabanında olmayan (tuzak) soru</t>
  </si>
  <si>
    <t xml:space="preserve">Doğru cevap</t>
  </si>
  <si>
    <t xml:space="preserve">Yanlış cevap</t>
  </si>
  <si>
    <t xml:space="preserve">Uydurma cevap (hedef 0)</t>
  </si>
  <si>
    <t xml:space="preserve">Eksik madde (bilgi tabanına eklenecek)</t>
  </si>
  <si>
    <t xml:space="preserve">Kaynak gösteren cevap</t>
  </si>
  <si>
    <t xml:space="preserve">Henüz değerlendirilmeyen soru</t>
  </si>
  <si>
    <t xml:space="preserve">Doğru cevap oranı (değerlendirilenler içinde)</t>
  </si>
  <si>
    <t xml:space="preserve">Rapor cümlesi</t>
  </si>
  <si>
    <t xml:space="preserve">Nasıl kullanılır</t>
  </si>
  <si>
    <t xml:space="preserve">Sarı sütunlar (F–I) 10. haftada doldurulur: Karya asistanı arayüze bağladıktan sonra her soruyu arayüzden sor.</t>
  </si>
  <si>
    <t xml:space="preserve">F: asistanın cevabını yapıştır. G ve H: açılır listeden seç. I: sorun varsa sebebini (eksik madde / karışık metin / model hatası) yaz.</t>
  </si>
  <si>
    <t xml:space="preserve">Turuncu satırlar (16–20) tuzak sorulardır; Gizem'in TS-05 testi bu 5 soruyu kullanır.</t>
  </si>
  <si>
    <t xml:space="preserve">Kaynak madde numaraları kb/maddeler.jsonl dosyasındaki 36 maddeden alınmıştır.</t>
  </si>
  <si>
    <t xml:space="preserve">Özet sayfasındaki sayılar formüldür, sarı sütunlar dolunca kendiliğinden güncellenir.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</si>
</sst>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2"/>
    <col collapsed="false" customWidth="true" hidden="false" outlineLevel="0" max="3" min="3" style="0" width="22"/>
    <col collapsed="false" customWidth="true" hidden="false" outlineLevel="0" max="4" min="4" style="0" width="60"/>
    <col collapsed="false" customWidth="true" hidden="false" outlineLevel="0" max="5" min="5" style="0" width="20"/>
    <col collapsed="false" customWidth="true" hidden="false" outlineLevel="0" max="6" min="6" style="0" width="45"/>
    <col collapsed="false" customWidth="true" hidden="false" outlineLevel="0" max="8" min="7" style="0" width="16"/>
    <col collapsed="false" customWidth="true" hidden="false" outlineLevel="0" max="9" min="9" style="0" width="32"/>
  </cols>
  <sheetData>
    <row r="1" customFormat="false" ht="31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23.85" hidden="false" customHeight="false" outlineLevel="0" collapsed="false">
      <c r="A2" s="2" t="n">
        <v>1</v>
      </c>
      <c r="B2" s="3" t="s">
        <v>9</v>
      </c>
      <c r="C2" s="3" t="s">
        <v>10</v>
      </c>
      <c r="D2" s="3" t="s">
        <v>11</v>
      </c>
      <c r="E2" s="3" t="s">
        <v>12</v>
      </c>
      <c r="F2" s="4"/>
      <c r="G2" s="4"/>
      <c r="H2" s="4"/>
      <c r="I2" s="4"/>
    </row>
    <row r="3" customFormat="false" ht="23.85" hidden="false" customHeight="false" outlineLevel="0" collapsed="false">
      <c r="A3" s="2" t="n">
        <v>2</v>
      </c>
      <c r="B3" s="3" t="s">
        <v>13</v>
      </c>
      <c r="C3" s="3" t="s">
        <v>10</v>
      </c>
      <c r="D3" s="3" t="s">
        <v>14</v>
      </c>
      <c r="E3" s="3" t="s">
        <v>15</v>
      </c>
      <c r="F3" s="4"/>
      <c r="G3" s="4"/>
      <c r="H3" s="4"/>
      <c r="I3" s="4"/>
    </row>
    <row r="4" customFormat="false" ht="15" hidden="false" customHeight="false" outlineLevel="0" collapsed="false">
      <c r="A4" s="2" t="n">
        <v>3</v>
      </c>
      <c r="B4" s="3" t="s">
        <v>16</v>
      </c>
      <c r="C4" s="3" t="s">
        <v>10</v>
      </c>
      <c r="D4" s="3" t="s">
        <v>17</v>
      </c>
      <c r="E4" s="3" t="s">
        <v>18</v>
      </c>
      <c r="F4" s="4"/>
      <c r="G4" s="4"/>
      <c r="H4" s="4"/>
      <c r="I4" s="4"/>
    </row>
    <row r="5" customFormat="false" ht="15" hidden="false" customHeight="false" outlineLevel="0" collapsed="false">
      <c r="A5" s="2" t="n">
        <v>4</v>
      </c>
      <c r="B5" s="3" t="s">
        <v>19</v>
      </c>
      <c r="C5" s="3" t="s">
        <v>10</v>
      </c>
      <c r="D5" s="3" t="s">
        <v>20</v>
      </c>
      <c r="E5" s="3" t="s">
        <v>21</v>
      </c>
      <c r="F5" s="4"/>
      <c r="G5" s="4"/>
      <c r="H5" s="4"/>
      <c r="I5" s="4"/>
    </row>
    <row r="6" customFormat="false" ht="15" hidden="false" customHeight="false" outlineLevel="0" collapsed="false">
      <c r="A6" s="2" t="n">
        <v>5</v>
      </c>
      <c r="B6" s="3" t="s">
        <v>22</v>
      </c>
      <c r="C6" s="3" t="s">
        <v>10</v>
      </c>
      <c r="D6" s="3" t="s">
        <v>23</v>
      </c>
      <c r="E6" s="3" t="s">
        <v>24</v>
      </c>
      <c r="F6" s="4"/>
      <c r="G6" s="4"/>
      <c r="H6" s="4"/>
      <c r="I6" s="4"/>
    </row>
    <row r="7" customFormat="false" ht="15" hidden="false" customHeight="false" outlineLevel="0" collapsed="false">
      <c r="A7" s="2" t="n">
        <v>6</v>
      </c>
      <c r="B7" s="3" t="s">
        <v>25</v>
      </c>
      <c r="C7" s="3" t="s">
        <v>10</v>
      </c>
      <c r="D7" s="3" t="s">
        <v>26</v>
      </c>
      <c r="E7" s="3" t="s">
        <v>27</v>
      </c>
      <c r="F7" s="4"/>
      <c r="G7" s="4"/>
      <c r="H7" s="4"/>
      <c r="I7" s="4"/>
    </row>
    <row r="8" customFormat="false" ht="23.85" hidden="false" customHeight="false" outlineLevel="0" collapsed="false">
      <c r="A8" s="2" t="n">
        <v>7</v>
      </c>
      <c r="B8" s="3" t="s">
        <v>28</v>
      </c>
      <c r="C8" s="3" t="s">
        <v>10</v>
      </c>
      <c r="D8" s="3" t="s">
        <v>29</v>
      </c>
      <c r="E8" s="3" t="s">
        <v>30</v>
      </c>
      <c r="F8" s="4"/>
      <c r="G8" s="4"/>
      <c r="H8" s="4"/>
      <c r="I8" s="4"/>
    </row>
    <row r="9" customFormat="false" ht="15" hidden="false" customHeight="false" outlineLevel="0" collapsed="false">
      <c r="A9" s="2" t="n">
        <v>8</v>
      </c>
      <c r="B9" s="3" t="s">
        <v>31</v>
      </c>
      <c r="C9" s="3" t="s">
        <v>10</v>
      </c>
      <c r="D9" s="3" t="s">
        <v>32</v>
      </c>
      <c r="E9" s="3" t="s">
        <v>33</v>
      </c>
      <c r="F9" s="4"/>
      <c r="G9" s="4"/>
      <c r="H9" s="4"/>
      <c r="I9" s="4"/>
    </row>
    <row r="10" customFormat="false" ht="15" hidden="false" customHeight="false" outlineLevel="0" collapsed="false">
      <c r="A10" s="2" t="n">
        <v>9</v>
      </c>
      <c r="B10" s="3" t="s">
        <v>34</v>
      </c>
      <c r="C10" s="3" t="s">
        <v>10</v>
      </c>
      <c r="D10" s="3" t="s">
        <v>35</v>
      </c>
      <c r="E10" s="3" t="s">
        <v>36</v>
      </c>
      <c r="F10" s="4"/>
      <c r="G10" s="4"/>
      <c r="H10" s="4"/>
      <c r="I10" s="4"/>
    </row>
    <row r="11" customFormat="false" ht="23.85" hidden="false" customHeight="false" outlineLevel="0" collapsed="false">
      <c r="A11" s="2" t="n">
        <v>10</v>
      </c>
      <c r="B11" s="3" t="s">
        <v>37</v>
      </c>
      <c r="C11" s="3" t="s">
        <v>10</v>
      </c>
      <c r="D11" s="3" t="s">
        <v>38</v>
      </c>
      <c r="E11" s="3" t="s">
        <v>39</v>
      </c>
      <c r="F11" s="4"/>
      <c r="G11" s="4"/>
      <c r="H11" s="4"/>
      <c r="I11" s="4"/>
    </row>
    <row r="12" customFormat="false" ht="15" hidden="false" customHeight="false" outlineLevel="0" collapsed="false">
      <c r="A12" s="2" t="n">
        <v>11</v>
      </c>
      <c r="B12" s="3" t="s">
        <v>40</v>
      </c>
      <c r="C12" s="3" t="s">
        <v>10</v>
      </c>
      <c r="D12" s="3" t="s">
        <v>41</v>
      </c>
      <c r="E12" s="3" t="s">
        <v>42</v>
      </c>
      <c r="F12" s="4"/>
      <c r="G12" s="4"/>
      <c r="H12" s="4"/>
      <c r="I12" s="4"/>
    </row>
    <row r="13" customFormat="false" ht="23.85" hidden="false" customHeight="false" outlineLevel="0" collapsed="false">
      <c r="A13" s="2" t="n">
        <v>12</v>
      </c>
      <c r="B13" s="3" t="s">
        <v>43</v>
      </c>
      <c r="C13" s="3" t="s">
        <v>10</v>
      </c>
      <c r="D13" s="3" t="s">
        <v>44</v>
      </c>
      <c r="E13" s="3" t="s">
        <v>45</v>
      </c>
      <c r="F13" s="4"/>
      <c r="G13" s="4"/>
      <c r="H13" s="4"/>
      <c r="I13" s="4"/>
    </row>
    <row r="14" customFormat="false" ht="23.85" hidden="false" customHeight="false" outlineLevel="0" collapsed="false">
      <c r="A14" s="2" t="n">
        <v>13</v>
      </c>
      <c r="B14" s="3" t="s">
        <v>46</v>
      </c>
      <c r="C14" s="3" t="s">
        <v>10</v>
      </c>
      <c r="D14" s="3" t="s">
        <v>47</v>
      </c>
      <c r="E14" s="3" t="s">
        <v>48</v>
      </c>
      <c r="F14" s="4"/>
      <c r="G14" s="4"/>
      <c r="H14" s="4"/>
      <c r="I14" s="4"/>
    </row>
    <row r="15" customFormat="false" ht="15" hidden="false" customHeight="false" outlineLevel="0" collapsed="false">
      <c r="A15" s="2" t="n">
        <v>14</v>
      </c>
      <c r="B15" s="3" t="s">
        <v>49</v>
      </c>
      <c r="C15" s="3" t="s">
        <v>10</v>
      </c>
      <c r="D15" s="3" t="s">
        <v>50</v>
      </c>
      <c r="E15" s="3" t="s">
        <v>51</v>
      </c>
      <c r="F15" s="4"/>
      <c r="G15" s="4"/>
      <c r="H15" s="4"/>
      <c r="I15" s="4"/>
    </row>
    <row r="16" customFormat="false" ht="15" hidden="false" customHeight="false" outlineLevel="0" collapsed="false">
      <c r="A16" s="2" t="n">
        <v>15</v>
      </c>
      <c r="B16" s="3" t="s">
        <v>52</v>
      </c>
      <c r="C16" s="3" t="s">
        <v>10</v>
      </c>
      <c r="D16" s="3" t="s">
        <v>53</v>
      </c>
      <c r="E16" s="3" t="s">
        <v>54</v>
      </c>
      <c r="F16" s="4"/>
      <c r="G16" s="4"/>
      <c r="H16" s="4"/>
      <c r="I16" s="4"/>
    </row>
    <row r="17" customFormat="false" ht="35.05" hidden="false" customHeight="false" outlineLevel="0" collapsed="false">
      <c r="A17" s="5" t="n">
        <v>16</v>
      </c>
      <c r="B17" s="6" t="s">
        <v>55</v>
      </c>
      <c r="C17" s="6" t="s">
        <v>56</v>
      </c>
      <c r="D17" s="6" t="s">
        <v>57</v>
      </c>
      <c r="E17" s="6" t="s">
        <v>58</v>
      </c>
      <c r="F17" s="4"/>
      <c r="G17" s="4"/>
      <c r="H17" s="4"/>
      <c r="I17" s="4"/>
    </row>
    <row r="18" customFormat="false" ht="35.05" hidden="false" customHeight="false" outlineLevel="0" collapsed="false">
      <c r="A18" s="5" t="n">
        <v>17</v>
      </c>
      <c r="B18" s="6" t="s">
        <v>59</v>
      </c>
      <c r="C18" s="6" t="s">
        <v>56</v>
      </c>
      <c r="D18" s="6" t="s">
        <v>57</v>
      </c>
      <c r="E18" s="6" t="s">
        <v>58</v>
      </c>
      <c r="F18" s="4"/>
      <c r="G18" s="4"/>
      <c r="H18" s="4"/>
      <c r="I18" s="4"/>
    </row>
    <row r="19" customFormat="false" ht="35.05" hidden="false" customHeight="false" outlineLevel="0" collapsed="false">
      <c r="A19" s="5" t="n">
        <v>18</v>
      </c>
      <c r="B19" s="6" t="s">
        <v>60</v>
      </c>
      <c r="C19" s="6" t="s">
        <v>56</v>
      </c>
      <c r="D19" s="6" t="s">
        <v>57</v>
      </c>
      <c r="E19" s="6" t="s">
        <v>58</v>
      </c>
      <c r="F19" s="4"/>
      <c r="G19" s="4"/>
      <c r="H19" s="4"/>
      <c r="I19" s="4"/>
    </row>
    <row r="20" customFormat="false" ht="35.05" hidden="false" customHeight="false" outlineLevel="0" collapsed="false">
      <c r="A20" s="5" t="n">
        <v>19</v>
      </c>
      <c r="B20" s="6" t="s">
        <v>61</v>
      </c>
      <c r="C20" s="6" t="s">
        <v>56</v>
      </c>
      <c r="D20" s="6" t="s">
        <v>57</v>
      </c>
      <c r="E20" s="6" t="s">
        <v>58</v>
      </c>
      <c r="F20" s="4"/>
      <c r="G20" s="4"/>
      <c r="H20" s="4"/>
      <c r="I20" s="4"/>
    </row>
    <row r="21" customFormat="false" ht="35.05" hidden="false" customHeight="false" outlineLevel="0" collapsed="false">
      <c r="A21" s="5" t="n">
        <v>20</v>
      </c>
      <c r="B21" s="6" t="s">
        <v>62</v>
      </c>
      <c r="C21" s="6" t="s">
        <v>56</v>
      </c>
      <c r="D21" s="6" t="s">
        <v>57</v>
      </c>
      <c r="E21" s="6" t="s">
        <v>58</v>
      </c>
      <c r="F21" s="4"/>
      <c r="G21" s="4"/>
      <c r="H21" s="4"/>
      <c r="I21" s="4"/>
    </row>
  </sheetData>
  <dataValidations count="2">
    <dataValidation allowBlank="true" errorStyle="stop" operator="between" showDropDown="false" showErrorMessage="false" showInputMessage="false" sqref="G2:G21" type="list">
      <formula1>"Doğru,Yanlış,Uydurma,Eksik madde"</formula1>
      <formula2>0</formula2>
    </dataValidation>
    <dataValidation allowBlank="true" errorStyle="stop" operator="between" showDropDown="false" showErrorMessage="false" showInputMessage="false" sqref="H2:H21" type="list">
      <formula1>"Evet,Hayır"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70"/>
  </cols>
  <sheetData>
    <row r="1" customFormat="false" ht="16.15" hidden="false" customHeight="false" outlineLevel="0" collapsed="false">
      <c r="A1" s="7" t="s">
        <v>63</v>
      </c>
    </row>
    <row r="2" customFormat="false" ht="15" hidden="false" customHeight="false" outlineLevel="0" collapsed="false">
      <c r="A2" s="8" t="s">
        <v>64</v>
      </c>
      <c r="B2" s="8" t="n">
        <f aca="false">COUNTA('Test Seti'!B2:B21)</f>
        <v>20</v>
      </c>
    </row>
    <row r="3" customFormat="false" ht="15" hidden="false" customHeight="false" outlineLevel="0" collapsed="false">
      <c r="A3" s="8" t="s">
        <v>65</v>
      </c>
      <c r="B3" s="8" t="n">
        <f aca="false">COUNTIF('Test Seti'!C2:C21,"Bilgi tabanında VAR")</f>
        <v>15</v>
      </c>
    </row>
    <row r="4" customFormat="false" ht="15" hidden="false" customHeight="false" outlineLevel="0" collapsed="false">
      <c r="A4" s="8" t="s">
        <v>66</v>
      </c>
      <c r="B4" s="8" t="n">
        <f aca="false">COUNTIF('Test Seti'!C2:C21,"Bilgi tabanında YOK (tuzak)")</f>
        <v>5</v>
      </c>
    </row>
    <row r="5" customFormat="false" ht="15" hidden="false" customHeight="false" outlineLevel="0" collapsed="false">
      <c r="A5" s="8" t="s">
        <v>67</v>
      </c>
      <c r="B5" s="8" t="n">
        <f aca="false">COUNTIF('Test Seti'!G2:G21,"Doğru")</f>
        <v>0</v>
      </c>
    </row>
    <row r="6" customFormat="false" ht="15" hidden="false" customHeight="false" outlineLevel="0" collapsed="false">
      <c r="A6" s="8" t="s">
        <v>68</v>
      </c>
      <c r="B6" s="8" t="n">
        <f aca="false">COUNTIF('Test Seti'!G2:G21,"Yanlış")</f>
        <v>0</v>
      </c>
    </row>
    <row r="7" customFormat="false" ht="15" hidden="false" customHeight="false" outlineLevel="0" collapsed="false">
      <c r="A7" s="8" t="s">
        <v>69</v>
      </c>
      <c r="B7" s="8" t="n">
        <f aca="false">COUNTIF('Test Seti'!G2:G21,"Uydurma")</f>
        <v>0</v>
      </c>
    </row>
    <row r="8" customFormat="false" ht="15" hidden="false" customHeight="false" outlineLevel="0" collapsed="false">
      <c r="A8" s="8" t="s">
        <v>70</v>
      </c>
      <c r="B8" s="8" t="n">
        <f aca="false">COUNTIF('Test Seti'!G2:G21,"Eksik madde")</f>
        <v>0</v>
      </c>
    </row>
    <row r="9" customFormat="false" ht="15" hidden="false" customHeight="false" outlineLevel="0" collapsed="false">
      <c r="A9" s="8" t="s">
        <v>71</v>
      </c>
      <c r="B9" s="8" t="n">
        <f aca="false">COUNTIF('Test Seti'!H2:H21,"Evet")</f>
        <v>0</v>
      </c>
    </row>
    <row r="10" customFormat="false" ht="15" hidden="false" customHeight="false" outlineLevel="0" collapsed="false">
      <c r="A10" s="8" t="s">
        <v>72</v>
      </c>
      <c r="B10" s="8" t="n">
        <f aca="false">B2-COUNTA('Test Seti'!G2:G21)</f>
        <v>20</v>
      </c>
    </row>
    <row r="11" customFormat="false" ht="15" hidden="false" customHeight="false" outlineLevel="0" collapsed="false">
      <c r="A11" s="8" t="s">
        <v>73</v>
      </c>
      <c r="B11" s="9" t="str">
        <f aca="false">IF(B2-B10=0,"",B5/(B2-B10))</f>
        <v/>
      </c>
    </row>
    <row r="12" customFormat="false" ht="15" hidden="false" customHeight="false" outlineLevel="0" collapsed="false">
      <c r="A12" s="8"/>
      <c r="B12" s="8"/>
    </row>
    <row r="13" customFormat="false" ht="15" hidden="false" customHeight="false" outlineLevel="0" collapsed="false">
      <c r="A13" s="10" t="s">
        <v>74</v>
      </c>
      <c r="B13" s="8" t="str">
        <f aca="false">"20 soruda "&amp;B5&amp;" doğru, "&amp;B7&amp;" uydurma (hedef 0), "&amp;B8&amp;" eksik madde."</f>
        <v>20 soruda 0 doğru, 0 uydurma (hedef 0), 0 eksik madde.</v>
      </c>
    </row>
    <row r="15" customFormat="false" ht="15" hidden="false" customHeight="false" outlineLevel="0" collapsed="false">
      <c r="A15" s="11" t="s">
        <v>75</v>
      </c>
    </row>
    <row r="16" customFormat="false" ht="15" hidden="false" customHeight="false" outlineLevel="0" collapsed="false">
      <c r="A16" s="8" t="s">
        <v>76</v>
      </c>
    </row>
    <row r="17" customFormat="false" ht="15" hidden="false" customHeight="false" outlineLevel="0" collapsed="false">
      <c r="A17" s="8" t="s">
        <v>77</v>
      </c>
    </row>
    <row r="18" customFormat="false" ht="15" hidden="false" customHeight="false" outlineLevel="0" collapsed="false">
      <c r="A18" s="8" t="s">
        <v>78</v>
      </c>
    </row>
    <row r="19" customFormat="false" ht="15" hidden="false" customHeight="false" outlineLevel="0" collapsed="false">
      <c r="A19" s="8" t="s">
        <v>79</v>
      </c>
    </row>
    <row r="20" customFormat="false" ht="15" hidden="false" customHeight="false" outlineLevel="0" collapsed="false">
      <c r="A20" s="8" t="s">
        <v>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2026-10-25T14:50:22Z</dcterms:created>
  <dc:creator>openpyxl</dc:creator>
  <dc:description/>
  <dc:language>en-US</dc:language>
  <cp:lastModifiedBy/>
  <dcterms:modified xsi:type="dcterms:W3CDTF">2026-10-25T14:50:22Z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