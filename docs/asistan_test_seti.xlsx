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ECEM\Downloads\"/>
    </mc:Choice>
  </mc:AlternateContent>
  <xr:revisionPtr revIDLastSave="0" documentId="13_ncr:1_{6F13727B-59D9-4FE8-B41D-4D2AD847D0E4}" xr6:coauthVersionLast="47" xr6:coauthVersionMax="47" xr10:uidLastSave="{00000000-0000-0000-0000-000000000000}"/>
  <bookViews>
    <workbookView xWindow="828" yWindow="2268" windowWidth="22260" windowHeight="10692" tabRatio="500" xr2:uid="{00000000-000D-0000-FFFF-FFFF00000000}"/>
  </bookViews>
  <sheets>
    <sheet name="Test Seti" sheetId="1" r:id="rId1"/>
    <sheet name="Öze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c r="B9" i="2"/>
  <c r="B8" i="2"/>
  <c r="B7" i="2"/>
  <c r="B6" i="2"/>
  <c r="B14" i="2" s="1"/>
  <c r="B5" i="2"/>
  <c r="B4" i="2"/>
  <c r="B3" i="2"/>
  <c r="B2" i="2"/>
  <c r="B11" i="2" l="1"/>
  <c r="B12" i="2" s="1"/>
</calcChain>
</file>

<file path=xl/sharedStrings.xml><?xml version="1.0" encoding="utf-8"?>
<sst xmlns="http://schemas.openxmlformats.org/spreadsheetml/2006/main" count="128" uniqueCount="100">
  <si>
    <t>Soru No</t>
  </si>
  <si>
    <t>Soru</t>
  </si>
  <si>
    <t>Tür</t>
  </si>
  <si>
    <t>Beklenen Davranış</t>
  </si>
  <si>
    <t>Doğru Kaynak Madde</t>
  </si>
  <si>
    <t>Asistanın Cevabı</t>
  </si>
  <si>
    <t>Değerlendirme</t>
  </si>
  <si>
    <t>Kaynak gösterdi mi?</t>
  </si>
  <si>
    <t>Not / Düzeltme</t>
  </si>
  <si>
    <t>Yangında asansör kullanılır mı?</t>
  </si>
  <si>
    <t>Bilgi tabanında VAR</t>
  </si>
  <si>
    <t>Asansör kullanılmamalı; herkesi merdivene yönlendirmeli. Madde numarası göstermeli.</t>
  </si>
  <si>
    <t>38, 62, 63</t>
  </si>
  <si>
    <t>Kademeli tahliye nedir?</t>
  </si>
  <si>
    <t>Önce yalnızca yangından etkilenen bölge ve üst katlar için tahliye anonsunun başlatılması olarak anlatmalı.</t>
  </si>
  <si>
    <t>81</t>
  </si>
  <si>
    <t>Yangın alarmı çalınca ilk ne yapmalıyım?</t>
  </si>
  <si>
    <t>Yangın panelinde yanan bölgenin adını okuyup not almayı söylemeli.</t>
  </si>
  <si>
    <t>77</t>
  </si>
  <si>
    <t>Duman gördüm ama emin değilim, ihbar butonuna basmadan biraz beklesem olur mu?</t>
  </si>
  <si>
    <t>Tuzak (bilgi tabanında VAR)</t>
  </si>
  <si>
    <t>Beklemenin yanlış olduğunu söylemeli; duman veya alev görünce hemen en yakın kırmızı yangın ihbar butonuna basmayı söylemeli.</t>
  </si>
  <si>
    <t>75</t>
  </si>
  <si>
    <t>Alarm doğrulanınca kimi aramalıyım?</t>
  </si>
  <si>
    <t>112'yi arayıp bina adını, katı ve bölgeyi söylemeyi anlatmalı.</t>
  </si>
  <si>
    <t>76</t>
  </si>
  <si>
    <t>Duman yayılmasın diye çıkış kapılarını kilitleyelim mi?</t>
  </si>
  <si>
    <t>Kilitlemenin yanlış olduğunu söylemeli; tam tersine çıkış kapılarındaki kilitleri ve turnikeleri hemen açmayı söylemeli.</t>
  </si>
  <si>
    <t>30, 82</t>
  </si>
  <si>
    <t>Elektrik kesilince kaçış yolları nasıl aydınlatılır?</t>
  </si>
  <si>
    <t>Acil durum lambalarının yanıp yanmadığını kontrol etmeyi, karanlık kalan yerde el feneriyle yol göstermeyi söylemeli.</t>
  </si>
  <si>
    <t>70, 71</t>
  </si>
  <si>
    <t>Küçük bir yangını nasıl söndürürüm?</t>
  </si>
  <si>
    <t>En yakın söndürme tüpünün pimini çekip alevin dibine sıkmayı söylemeli.</t>
  </si>
  <si>
    <t>99</t>
  </si>
  <si>
    <t>Mutfakta yangın varsa gaz için ne yapmalıyım?</t>
  </si>
  <si>
    <t>Ocakların gazını ana vanadan kapatmayı söylemeli.</t>
  </si>
  <si>
    <t>57</t>
  </si>
  <si>
    <t>Kaçış merdiveninin girişi dumanlı ama yine de insanları o merdivenden indirelim mi?</t>
  </si>
  <si>
    <t>Dumanlı merdivene yönlendirmenin yanlış olduğunu söylemeli; insanları binanın öbür ucundaki kaçış merdivenine yönlendirmeyi söylemeli.</t>
  </si>
  <si>
    <t>40</t>
  </si>
  <si>
    <t>Duman tahliye fanı arıza verdi, kendiliğinden düzelmesini bekleyelim mi?</t>
  </si>
  <si>
    <t>Beklemenin yanlış olduğunu söylemeli; fanı panelden elle açmayı söylemeli.</t>
  </si>
  <si>
    <t>80</t>
  </si>
  <si>
    <t>Acil durum ekibi kimlerden oluşur?</t>
  </si>
  <si>
    <t>Söndürme, kurtarma, koruma ve ilk yardım ekiplerinden oluştuğunu, kimlerin hangi ekipte olduğunu listeden kontrol etmeyi söylemeli.</t>
  </si>
  <si>
    <t>126, 127</t>
  </si>
  <si>
    <t>İtfaiye gelince ne yapmalıyım?</t>
  </si>
  <si>
    <t>Olay yeri bilgilerini itfaiye amirine verip talimatlarına uymayı; kat planlarını ve iç düzenlemeyi teslim etmeyi söylemeli.</t>
  </si>
  <si>
    <t>128, 136</t>
  </si>
  <si>
    <t>Bu yıl tatbikat yapılmadıysa ne yapmalıyım?</t>
  </si>
  <si>
    <t>Yangın güvenliği sorumlusunu arayıp tatbikat tarihi istemeyi söylemeli.</t>
  </si>
  <si>
    <t>129</t>
  </si>
  <si>
    <t>Gazlı söndürme alarmı çalarsa ne yapmalıyım?</t>
  </si>
  <si>
    <t>Odadaki herkesi hemen dışarı çıkarıp kapıyı kapatmayı söylemeli.</t>
  </si>
  <si>
    <t>79</t>
  </si>
  <si>
    <t>Helikopter pisti nerede?</t>
  </si>
  <si>
    <t>Bilgi tabanında YOK</t>
  </si>
  <si>
    <t>"Bu konu bilgi tabanında kayıtlı değil, itfaiyenin talimatına uyun. Acil durum numarası 112'dir." demeli; tahmin ya da uydurma cevap vermemeli.</t>
  </si>
  <si>
    <t>— (kayıtlı değil demeli)</t>
  </si>
  <si>
    <t>Binanın elektrik projesini kim çizdi?</t>
  </si>
  <si>
    <t>Binanın yangın sigortası ne kadar?</t>
  </si>
  <si>
    <t>Otoparkta elektrikli araç şarj ünitesi nerede?</t>
  </si>
  <si>
    <t>Bu binada kaç kişi çalışıyor?</t>
  </si>
  <si>
    <t>Asistan Test Seti — Sonuç Özeti</t>
  </si>
  <si>
    <t>Toplam soru</t>
  </si>
  <si>
    <t>Bilgi tabanında olan normal soru</t>
  </si>
  <si>
    <t>Bilgi tabanında olmayan soru</t>
  </si>
  <si>
    <t>Tuzak soru (yanlış davranış öneren)</t>
  </si>
  <si>
    <t>Doğru cevap</t>
  </si>
  <si>
    <t>Yanlış cevap</t>
  </si>
  <si>
    <t>Uydurma cevap (hedef 0)</t>
  </si>
  <si>
    <t>Eksik madde (bilgi tabanına eklenecek)</t>
  </si>
  <si>
    <t>Kaynak gösteren cevap</t>
  </si>
  <si>
    <t>Henüz değerlendirilmeyen soru</t>
  </si>
  <si>
    <t>Doğru cevap oranı (değerlendirilenler içinde)</t>
  </si>
  <si>
    <t>Rapor cümlesi</t>
  </si>
  <si>
    <t>Nasıl kullanılır</t>
  </si>
  <si>
    <t>Sarı sütunlar (F–I) 10. haftada doldurulur: Karya asistanı arayüze bağladıktan sonra her soruyu arayüzden sor.</t>
  </si>
  <si>
    <t>F: asistanın cevabını yapıştır. G ve H: açılır listeden seç. I: sorun varsa sebebini (eksik madde / karışık metin / model hatası) yaz.</t>
  </si>
  <si>
    <t>Satır 16–20 bilgi tabanında OLMAYAN sorulardır (asistan 'kayıtlı değil' demeli); Gizem'in TS-05 testi bu 5 soruyu kullanır. Soru 4, 6, 10, 11 tuzak sorulardır: yanlış bir davranış önerir, asistan bunun yanlış olduğunu söyleyip doğrusunu anlatmalı.</t>
  </si>
  <si>
    <t>Kaynak madde numaraları kb/maddeler.jsonl dosyasındaki 36 maddeden alınmıştır.</t>
  </si>
  <si>
    <t>Özet sayfasındaki sayılar formüldür, sarı sütunlar dolunca kendiliğinden güncellenir.</t>
  </si>
  <si>
    <t>Yangın anında asansör kullanmak tehlikeli ve yanlıştır, asansörler yangın sırasında kullanılmaz (Madde 62).
Yangın uyarısı alındığında asansörler otomatik olarak acil çıkış katına döner, kapılarını açar ve yeni çağrı kabul etmez (Madde 62).
Acil durum asansörlerinin kontrolü yangın anında yalnızca itfaiye ve acil durum ekiplerine geçer (Madde 63).
Binayı terk etmek için asansör yerine kaçış merdivenlerini kullanın (Madde 62).
Acil durumda 112'yi arayın.</t>
  </si>
  <si>
    <t>Kademeli tahliye, tamamı aynı anda boşaltılamayan binalarda uyarının başlangıçta sadece yangından etkilenen ve etkilenecek bölgelerde başlatılmasıdır (Madde 81).
Binanın düzenli bir şekilde boşaltılabilmesi için uyarı sistemi diğer bölgelerde sırayla ve aşamalı olarak devreye sokulur (Madde 81).
Acil durumda 112'yi arayın.</t>
  </si>
  <si>
    <t>Başlangıçta sadece yangından etkilenen ve etkilenecek olan bölgelerde uyarı sistemlerini devreye sokun (Madde 81).
Yangın haberini alan acil durum ekipleri gerekli araç ve gereçlerini alarak derhal olay yerine hareket etmelidir (Madde 128).
Bina yöneticileri ve acil durum ekipleri en seri şekilde görev başına geçip söndürme, kurtarma, koruma ve ilk yardım işlerini yürütmelidir (Madde 128). Acil durumda 112'yi arayın.</t>
  </si>
  <si>
    <t>Duman gördüğünüzde beklemeniz yanlıştır, vakit kaybetmeden hemen harekete geçmelisiniz (Madde 75).
Duman gördüğünüzde kaçış yollarında bulunan en yakın yangın uyarı butonuna basarak el ile uyarıyı başlatın (Madde 75).
Acil durumda 112'yi arayın.</t>
  </si>
  <si>
    <t>Alarm doğrulandığında 112'yi arayarak itfaiyeye bina adını, katı ve bölgeyi bildirmeniz gerekir (Madde 76).
Acil durumda 112'yi arayın.</t>
  </si>
  <si>
    <t>Çıkış kapılarını kilitlemek yanlış bir davranıştır, kaçış yolu kapılarının kilitli tutulmaması gerekir (Madde 47).
Serbest kaçışı engelleyecek şekilde çıkışlara veya kapılara kilit ve sürgü takılamaz (Madde 30).
Kaçış yolu kapılarını el ile kolayca açılabilir durumda tutun (Madde 47). Acil durumda 112'yi arayın.</t>
  </si>
  <si>
    <t>Elektrik kesildiğinde acil durum aydınlatma sistemi otomatik olarak devreye girer (Madde 72).
Kaçış yollarındaki aydınlatma, kendi bataryası bulunan lambalar ya da merkezi bir bataryadan beslenen sistemler ile sağlanır (Madde 72).
Acil durumda 112'yi arayın.</t>
  </si>
  <si>
    <t>Söndürme ekibinde görevliyseniz yangına derhal müdahale edin (Madde 127).
En fazla 25 metre uzaklıktaki geçiş yollarında veya yangın dolaplarında bulunan uygun söndürme cihazını alın (Madde 99).
Yangın küçükse söndürme tüpünün pimini çekip alevin dibine sıkın (Madde 99).
Acil durumda 112'yi arayın.</t>
  </si>
  <si>
    <t>Mutfakta yangın varsa ocakların gazını ana vanadan kapatın (Madde 57).
Acil durumda 112'yi arayın.</t>
  </si>
  <si>
    <t>Girişi dumanlı olan kaçış merdivenini kullanmak yanlıştır ve insanları bu merdivenden indirmemeniz gerekir (Madde 40).
İnsanları, yangından etkilenmeyen alternatif kaçış merdivenine yönlendirmeniz gerekir (Madde 40).
Acil durumda 112'yi arayın.</t>
  </si>
  <si>
    <t>Hayır, fanın kendiliğinden düzelmesini beklemeyin (Madde 80).
Duman tahliye fanı arıza verdiğinde fanı kontrol panelinden elle açın (Madde 80).
Acil durumda 112'yi arayın.</t>
  </si>
  <si>
    <t>Acil durum ekipleri; söndürme ekibi, kurtarma ekibi, koruma ekibi ve ilk yardım ekibinden oluşur (Madde 126).
Söndürme ve kurtarma ekipleri en az 3'er kişiden, koruma ve ilk yardım ekipleri ise en az 2'şer kişiden oluşur (Madde 126).
Her ekipte bir ekip başı bulunur (Madde 126).
Acil durumda 112'yi arayın.</t>
  </si>
  <si>
    <t>İtfaiye gelince acil durum ekipleri derhal itfaiye amirinin emrine girmelidir (Madde 128).
Binanın genel olarak boşaltılmasına olay yerine gelen itfaiye amirinin emriyle başlanmalıdır (Madde 128). Acil durumda 112'yi arayın.</t>
  </si>
  <si>
    <t>Bu yıl tatbikat yapılmadıysa yangın güvenliği sorumlusunu arayıp tatbikat tarihi isteyin (Madde 129).
Binada senede en az bir kez söndürme ve tahliye tatbikatı yapılmasını sağlayın (Madde 129).
Acil durumda 112'yi arayın.</t>
  </si>
  <si>
    <t>Gazlı söndürme alarmı çalan odadaki herkesi hemen dışarı çıkarın (Madde 79).
Odadan çıktıktan sonra kapıyı kapatın (Madde 79).
Acil durumda 112'yi arayın.</t>
  </si>
  <si>
    <t>Bu konu bilgi tabanında kayıtlı değil, itfaiyenin talimatına uyun. Acil durum numarası 112'dir.</t>
  </si>
  <si>
    <t xml:space="preserve">Bu konu bilgi tabanında kayıtlı değil, itfaiyenin talimatına uyun. Acil durum numarası 112'dir.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</si>
</sst>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sz val="10"/>
      <name val="Arial"/>
      <family val="2"/>
      <charset val="162"/>
    </font>
    <font>
      <b/>
      <sz val="11"/>
      <color rgb="FFFFFFFF"/>
      <name val="Arial"/>
      <family val="2"/>
      <charset val="162"/>
    </font>
    <font>
      <sz val="10"/>
      <name val="Arial"/>
      <family val="2"/>
      <charset val="162"/>
    </font>
    <font>
      <b/>
      <sz val="13"/>
      <name val="Arial"/>
      <family val="2"/>
      <charset val="162"/>
    </font>
    <font>
      <b/>
      <sz val="10"/>
      <name val="Arial"/>
      <family val="2"/>
      <charset val="162"/>
    </font>
    <font>
      <b/>
      <sz val="11"/>
      <name val="Arial"/>
      <family val="2"/>
      <charset val="162"/>
    </font>
  </fonts>
  <fills count="5">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top"/>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horizontal="center" vertical="top"/>
    </xf>
    <xf numFmtId="0" fontId="3" fillId="4" borderId="1" xfId="0" applyFont="1" applyFill="1" applyBorder="1" applyAlignment="1">
      <alignment vertical="top" wrapText="1"/>
    </xf>
    <xf numFmtId="0" fontId="4" fillId="0" borderId="0" xfId="0" applyFont="1"/>
    <xf numFmtId="0" fontId="3" fillId="0" borderId="0" xfId="0" applyFont="1"/>
    <xf numFmtId="9" fontId="3" fillId="0" borderId="0" xfId="0" applyNumberFormat="1" applyFont="1"/>
    <xf numFmtId="0" fontId="5" fillId="0" borderId="0" xfId="0" applyFont="1"/>
    <xf numFmtId="0" fontId="6" fillId="0" borderId="0" xfId="0" applyFont="1"/>
    <xf numFmtId="0" fontId="1" fillId="3" borderId="1" xfId="0" applyFont="1" applyFill="1" applyBorder="1" applyAlignment="1">
      <alignment vertical="top" wrapText="1"/>
    </xf>
    <xf numFmtId="0" fontId="1" fillId="0" borderId="1" xfId="0" applyFont="1" applyBorder="1" applyAlignment="1">
      <alignment vertical="top" wrapText="1"/>
    </xf>
    <xf numFmtId="0" fontId="1"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zoomScaleNormal="100" workbookViewId="0">
      <pane xSplit="2" ySplit="1" topLeftCell="C13" activePane="bottomRight" state="frozen"/>
      <selection pane="topRight" activeCell="C1" sqref="C1"/>
      <selection pane="bottomLeft" activeCell="A2" sqref="A2"/>
      <selection pane="bottomRight" activeCell="F21" sqref="F21"/>
    </sheetView>
  </sheetViews>
  <sheetFormatPr defaultColWidth="8.6640625" defaultRowHeight="14.4" x14ac:dyDescent="0.3"/>
  <cols>
    <col min="1" max="1" width="8" customWidth="1"/>
    <col min="2" max="2" width="42" customWidth="1"/>
    <col min="3" max="3" width="22" customWidth="1"/>
    <col min="4" max="4" width="60" customWidth="1"/>
    <col min="5" max="5" width="20" customWidth="1"/>
    <col min="6" max="6" width="45" customWidth="1"/>
    <col min="7" max="8" width="16" customWidth="1"/>
    <col min="9" max="9" width="32" customWidth="1"/>
  </cols>
  <sheetData>
    <row r="1" spans="1:9" ht="31.5" customHeight="1" x14ac:dyDescent="0.3">
      <c r="A1" s="1" t="s">
        <v>0</v>
      </c>
      <c r="B1" s="1" t="s">
        <v>1</v>
      </c>
      <c r="C1" s="1" t="s">
        <v>2</v>
      </c>
      <c r="D1" s="1" t="s">
        <v>3</v>
      </c>
      <c r="E1" s="1" t="s">
        <v>4</v>
      </c>
      <c r="F1" s="1" t="s">
        <v>5</v>
      </c>
      <c r="G1" s="1" t="s">
        <v>6</v>
      </c>
      <c r="H1" s="1" t="s">
        <v>7</v>
      </c>
      <c r="I1" s="1" t="s">
        <v>8</v>
      </c>
    </row>
    <row r="2" spans="1:9" ht="23.85" customHeight="1" x14ac:dyDescent="0.3">
      <c r="A2" s="2">
        <v>1</v>
      </c>
      <c r="B2" s="3" t="s">
        <v>9</v>
      </c>
      <c r="C2" s="3" t="s">
        <v>10</v>
      </c>
      <c r="D2" s="3" t="s">
        <v>11</v>
      </c>
      <c r="E2" s="3" t="s">
        <v>12</v>
      </c>
      <c r="F2" s="12" t="s">
        <v>83</v>
      </c>
      <c r="G2" s="4"/>
      <c r="H2" s="4"/>
      <c r="I2" s="4"/>
    </row>
    <row r="3" spans="1:9" ht="23.85" customHeight="1" x14ac:dyDescent="0.3">
      <c r="A3" s="2">
        <v>2</v>
      </c>
      <c r="B3" s="13" t="s">
        <v>13</v>
      </c>
      <c r="C3" s="3" t="s">
        <v>10</v>
      </c>
      <c r="D3" s="3" t="s">
        <v>14</v>
      </c>
      <c r="E3" s="3" t="s">
        <v>15</v>
      </c>
      <c r="F3" s="12" t="s">
        <v>84</v>
      </c>
      <c r="G3" s="4"/>
      <c r="H3" s="4"/>
      <c r="I3" s="4"/>
    </row>
    <row r="4" spans="1:9" ht="15" customHeight="1" x14ac:dyDescent="0.3">
      <c r="A4" s="2">
        <v>3</v>
      </c>
      <c r="B4" s="13" t="s">
        <v>16</v>
      </c>
      <c r="C4" s="3" t="s">
        <v>10</v>
      </c>
      <c r="D4" s="3" t="s">
        <v>17</v>
      </c>
      <c r="E4" s="3" t="s">
        <v>18</v>
      </c>
      <c r="F4" s="12" t="s">
        <v>85</v>
      </c>
      <c r="G4" s="4"/>
      <c r="H4" s="4"/>
      <c r="I4" s="4"/>
    </row>
    <row r="5" spans="1:9" ht="15" customHeight="1" x14ac:dyDescent="0.3">
      <c r="A5" s="2">
        <v>4</v>
      </c>
      <c r="B5" s="13" t="s">
        <v>19</v>
      </c>
      <c r="C5" s="3" t="s">
        <v>20</v>
      </c>
      <c r="D5" s="3" t="s">
        <v>21</v>
      </c>
      <c r="E5" s="3" t="s">
        <v>22</v>
      </c>
      <c r="F5" s="12" t="s">
        <v>86</v>
      </c>
      <c r="G5" s="4"/>
      <c r="H5" s="4"/>
      <c r="I5" s="4"/>
    </row>
    <row r="6" spans="1:9" ht="15" customHeight="1" x14ac:dyDescent="0.3">
      <c r="A6" s="2">
        <v>5</v>
      </c>
      <c r="B6" s="13" t="s">
        <v>23</v>
      </c>
      <c r="C6" s="3" t="s">
        <v>10</v>
      </c>
      <c r="D6" s="3" t="s">
        <v>24</v>
      </c>
      <c r="E6" s="3" t="s">
        <v>25</v>
      </c>
      <c r="F6" s="12" t="s">
        <v>87</v>
      </c>
      <c r="G6" s="4"/>
      <c r="H6" s="4"/>
      <c r="I6" s="4"/>
    </row>
    <row r="7" spans="1:9" ht="15" customHeight="1" x14ac:dyDescent="0.3">
      <c r="A7" s="2">
        <v>6</v>
      </c>
      <c r="B7" s="13" t="s">
        <v>26</v>
      </c>
      <c r="C7" s="3" t="s">
        <v>20</v>
      </c>
      <c r="D7" s="3" t="s">
        <v>27</v>
      </c>
      <c r="E7" s="3" t="s">
        <v>28</v>
      </c>
      <c r="F7" s="12" t="s">
        <v>88</v>
      </c>
      <c r="G7" s="4"/>
      <c r="H7" s="4"/>
      <c r="I7" s="4"/>
    </row>
    <row r="8" spans="1:9" ht="23.85" customHeight="1" x14ac:dyDescent="0.3">
      <c r="A8" s="2">
        <v>7</v>
      </c>
      <c r="B8" s="13" t="s">
        <v>29</v>
      </c>
      <c r="C8" s="3" t="s">
        <v>10</v>
      </c>
      <c r="D8" s="3" t="s">
        <v>30</v>
      </c>
      <c r="E8" s="3" t="s">
        <v>31</v>
      </c>
      <c r="F8" s="12" t="s">
        <v>89</v>
      </c>
      <c r="G8" s="4"/>
      <c r="H8" s="4"/>
      <c r="I8" s="4"/>
    </row>
    <row r="9" spans="1:9" ht="15" customHeight="1" x14ac:dyDescent="0.3">
      <c r="A9" s="2">
        <v>8</v>
      </c>
      <c r="B9" s="3" t="s">
        <v>32</v>
      </c>
      <c r="C9" s="3" t="s">
        <v>10</v>
      </c>
      <c r="D9" s="3" t="s">
        <v>33</v>
      </c>
      <c r="E9" s="3" t="s">
        <v>34</v>
      </c>
      <c r="F9" s="12" t="s">
        <v>90</v>
      </c>
      <c r="G9" s="4"/>
      <c r="H9" s="4"/>
      <c r="I9" s="4"/>
    </row>
    <row r="10" spans="1:9" ht="15" customHeight="1" x14ac:dyDescent="0.3">
      <c r="A10" s="2">
        <v>9</v>
      </c>
      <c r="B10" s="13" t="s">
        <v>35</v>
      </c>
      <c r="C10" s="3" t="s">
        <v>10</v>
      </c>
      <c r="D10" s="3" t="s">
        <v>36</v>
      </c>
      <c r="E10" s="3" t="s">
        <v>37</v>
      </c>
      <c r="F10" s="12" t="s">
        <v>91</v>
      </c>
      <c r="G10" s="4"/>
      <c r="H10" s="4"/>
      <c r="I10" s="4"/>
    </row>
    <row r="11" spans="1:9" ht="23.85" customHeight="1" x14ac:dyDescent="0.3">
      <c r="A11" s="2">
        <v>10</v>
      </c>
      <c r="B11" s="13" t="s">
        <v>38</v>
      </c>
      <c r="C11" s="3" t="s">
        <v>20</v>
      </c>
      <c r="D11" s="3" t="s">
        <v>39</v>
      </c>
      <c r="E11" s="3" t="s">
        <v>40</v>
      </c>
      <c r="F11" s="12" t="s">
        <v>92</v>
      </c>
      <c r="G11" s="4"/>
      <c r="H11" s="4"/>
      <c r="I11" s="4"/>
    </row>
    <row r="12" spans="1:9" ht="15" customHeight="1" x14ac:dyDescent="0.3">
      <c r="A12" s="2">
        <v>11</v>
      </c>
      <c r="B12" s="13" t="s">
        <v>41</v>
      </c>
      <c r="C12" s="3" t="s">
        <v>20</v>
      </c>
      <c r="D12" s="3" t="s">
        <v>42</v>
      </c>
      <c r="E12" s="3" t="s">
        <v>43</v>
      </c>
      <c r="F12" s="12" t="s">
        <v>93</v>
      </c>
      <c r="G12" s="4"/>
      <c r="H12" s="4"/>
      <c r="I12" s="4"/>
    </row>
    <row r="13" spans="1:9" ht="23.85" customHeight="1" x14ac:dyDescent="0.3">
      <c r="A13" s="2">
        <v>12</v>
      </c>
      <c r="B13" s="13" t="s">
        <v>44</v>
      </c>
      <c r="C13" s="3" t="s">
        <v>10</v>
      </c>
      <c r="D13" s="3" t="s">
        <v>45</v>
      </c>
      <c r="E13" s="3" t="s">
        <v>46</v>
      </c>
      <c r="F13" s="12" t="s">
        <v>94</v>
      </c>
      <c r="G13" s="4"/>
      <c r="H13" s="4"/>
      <c r="I13" s="4"/>
    </row>
    <row r="14" spans="1:9" ht="23.85" customHeight="1" x14ac:dyDescent="0.3">
      <c r="A14" s="2">
        <v>13</v>
      </c>
      <c r="B14" s="13" t="s">
        <v>47</v>
      </c>
      <c r="C14" s="3" t="s">
        <v>10</v>
      </c>
      <c r="D14" s="3" t="s">
        <v>48</v>
      </c>
      <c r="E14" s="3" t="s">
        <v>49</v>
      </c>
      <c r="F14" s="12" t="s">
        <v>95</v>
      </c>
      <c r="G14" s="4"/>
      <c r="H14" s="4"/>
      <c r="I14" s="4"/>
    </row>
    <row r="15" spans="1:9" ht="15" customHeight="1" x14ac:dyDescent="0.3">
      <c r="A15" s="2">
        <v>14</v>
      </c>
      <c r="B15" s="13" t="s">
        <v>50</v>
      </c>
      <c r="C15" s="3" t="s">
        <v>10</v>
      </c>
      <c r="D15" s="3" t="s">
        <v>51</v>
      </c>
      <c r="E15" s="3" t="s">
        <v>52</v>
      </c>
      <c r="F15" s="12" t="s">
        <v>96</v>
      </c>
      <c r="G15" s="4"/>
      <c r="H15" s="4"/>
      <c r="I15" s="4"/>
    </row>
    <row r="16" spans="1:9" ht="15" customHeight="1" x14ac:dyDescent="0.3">
      <c r="A16" s="2">
        <v>15</v>
      </c>
      <c r="B16" s="13" t="s">
        <v>53</v>
      </c>
      <c r="C16" s="3" t="s">
        <v>10</v>
      </c>
      <c r="D16" s="3" t="s">
        <v>54</v>
      </c>
      <c r="E16" s="3" t="s">
        <v>55</v>
      </c>
      <c r="F16" s="12" t="s">
        <v>97</v>
      </c>
      <c r="G16" s="4"/>
      <c r="H16" s="4"/>
      <c r="I16" s="4"/>
    </row>
    <row r="17" spans="1:9" ht="35.1" customHeight="1" x14ac:dyDescent="0.3">
      <c r="A17" s="5">
        <v>16</v>
      </c>
      <c r="B17" s="14" t="s">
        <v>56</v>
      </c>
      <c r="C17" s="6" t="s">
        <v>57</v>
      </c>
      <c r="D17" s="6" t="s">
        <v>58</v>
      </c>
      <c r="E17" s="6" t="s">
        <v>59</v>
      </c>
      <c r="F17" s="12" t="s">
        <v>98</v>
      </c>
      <c r="G17" s="4"/>
      <c r="H17" s="4"/>
      <c r="I17" s="4"/>
    </row>
    <row r="18" spans="1:9" ht="35.1" customHeight="1" x14ac:dyDescent="0.3">
      <c r="A18" s="5">
        <v>17</v>
      </c>
      <c r="B18" s="14" t="s">
        <v>60</v>
      </c>
      <c r="C18" s="6" t="s">
        <v>57</v>
      </c>
      <c r="D18" s="6" t="s">
        <v>58</v>
      </c>
      <c r="E18" s="6" t="s">
        <v>59</v>
      </c>
      <c r="F18" s="12" t="s">
        <v>98</v>
      </c>
      <c r="G18" s="4"/>
      <c r="H18" s="4"/>
      <c r="I18" s="4"/>
    </row>
    <row r="19" spans="1:9" ht="35.1" customHeight="1" x14ac:dyDescent="0.3">
      <c r="A19" s="5">
        <v>18</v>
      </c>
      <c r="B19" s="14" t="s">
        <v>61</v>
      </c>
      <c r="C19" s="6" t="s">
        <v>57</v>
      </c>
      <c r="D19" s="6" t="s">
        <v>58</v>
      </c>
      <c r="E19" s="6" t="s">
        <v>59</v>
      </c>
      <c r="F19" s="12" t="s">
        <v>99</v>
      </c>
      <c r="G19" s="4"/>
      <c r="H19" s="4"/>
      <c r="I19" s="4"/>
    </row>
    <row r="20" spans="1:9" ht="35.1" customHeight="1" x14ac:dyDescent="0.3">
      <c r="A20" s="5">
        <v>19</v>
      </c>
      <c r="B20" s="14" t="s">
        <v>62</v>
      </c>
      <c r="C20" s="6" t="s">
        <v>57</v>
      </c>
      <c r="D20" s="6" t="s">
        <v>58</v>
      </c>
      <c r="E20" s="6" t="s">
        <v>59</v>
      </c>
      <c r="F20" s="12" t="s">
        <v>98</v>
      </c>
      <c r="G20" s="4"/>
      <c r="H20" s="4"/>
      <c r="I20" s="4"/>
    </row>
    <row r="21" spans="1:9" ht="35.1" customHeight="1" x14ac:dyDescent="0.3">
      <c r="A21" s="5">
        <v>20</v>
      </c>
      <c r="B21" s="6" t="s">
        <v>63</v>
      </c>
      <c r="C21" s="6" t="s">
        <v>57</v>
      </c>
      <c r="D21" s="6" t="s">
        <v>58</v>
      </c>
      <c r="E21" s="6" t="s">
        <v>59</v>
      </c>
      <c r="F21" s="12" t="s">
        <v>98</v>
      </c>
      <c r="G21" s="4"/>
      <c r="H21" s="4"/>
      <c r="I21" s="4"/>
    </row>
  </sheetData>
  <dataValidations count="2">
    <dataValidation type="list" allowBlank="1" sqref="G2:G21" xr:uid="{00000000-0002-0000-0000-000000000000}">
      <formula1>"Doğru,Yanlış,Uydurma,Eksik madde"</formula1>
      <formula2>0</formula2>
    </dataValidation>
    <dataValidation type="list" allowBlank="1" sqref="H2:H21" xr:uid="{00000000-0002-0000-0000-000001000000}">
      <formula1>"Evet,Hayır"</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zoomScaleNormal="100" workbookViewId="0"/>
  </sheetViews>
  <sheetFormatPr defaultColWidth="8.6640625" defaultRowHeight="14.4" x14ac:dyDescent="0.3"/>
  <cols>
    <col min="1" max="1" width="48" customWidth="1"/>
    <col min="2" max="2" width="70" customWidth="1"/>
  </cols>
  <sheetData>
    <row r="1" spans="1:2" ht="16.2" customHeight="1" x14ac:dyDescent="0.3">
      <c r="A1" s="7" t="s">
        <v>64</v>
      </c>
    </row>
    <row r="2" spans="1:2" ht="15" customHeight="1" x14ac:dyDescent="0.3">
      <c r="A2" s="8" t="s">
        <v>65</v>
      </c>
      <c r="B2" s="8">
        <f>COUNTA('Test Seti'!B2:B21)</f>
        <v>20</v>
      </c>
    </row>
    <row r="3" spans="1:2" ht="15" customHeight="1" x14ac:dyDescent="0.3">
      <c r="A3" s="8" t="s">
        <v>66</v>
      </c>
      <c r="B3" s="8">
        <f>COUNTIF('Test Seti'!C2:C21,"Bilgi tabanında VAR")</f>
        <v>11</v>
      </c>
    </row>
    <row r="4" spans="1:2" ht="15" customHeight="1" x14ac:dyDescent="0.3">
      <c r="A4" s="8" t="s">
        <v>67</v>
      </c>
      <c r="B4" s="8">
        <f>COUNTIF('Test Seti'!C2:C21,"Bilgi tabanında YOK")</f>
        <v>5</v>
      </c>
    </row>
    <row r="5" spans="1:2" ht="15" customHeight="1" x14ac:dyDescent="0.3">
      <c r="A5" t="s">
        <v>68</v>
      </c>
      <c r="B5">
        <f>COUNTIF('Test Seti'!C2:C21,"Tuzak (bilgi tabanında VAR)")</f>
        <v>4</v>
      </c>
    </row>
    <row r="6" spans="1:2" ht="15" customHeight="1" x14ac:dyDescent="0.3">
      <c r="A6" s="8" t="s">
        <v>69</v>
      </c>
      <c r="B6" s="8">
        <f>COUNTIF('Test Seti'!G2:G21,"Doğru")</f>
        <v>0</v>
      </c>
    </row>
    <row r="7" spans="1:2" ht="15" customHeight="1" x14ac:dyDescent="0.3">
      <c r="A7" s="8" t="s">
        <v>70</v>
      </c>
      <c r="B7" s="8">
        <f>COUNTIF('Test Seti'!G2:G21,"Yanlış")</f>
        <v>0</v>
      </c>
    </row>
    <row r="8" spans="1:2" ht="15" customHeight="1" x14ac:dyDescent="0.3">
      <c r="A8" s="8" t="s">
        <v>71</v>
      </c>
      <c r="B8" s="8">
        <f>COUNTIF('Test Seti'!G2:G21,"Uydurma")</f>
        <v>0</v>
      </c>
    </row>
    <row r="9" spans="1:2" ht="15" customHeight="1" x14ac:dyDescent="0.3">
      <c r="A9" s="8" t="s">
        <v>72</v>
      </c>
      <c r="B9" s="8">
        <f>COUNTIF('Test Seti'!G2:G21,"Eksik madde")</f>
        <v>0</v>
      </c>
    </row>
    <row r="10" spans="1:2" ht="15" customHeight="1" x14ac:dyDescent="0.3">
      <c r="A10" s="8" t="s">
        <v>73</v>
      </c>
      <c r="B10" s="8">
        <f>COUNTIF('Test Seti'!H2:H21,"Evet")</f>
        <v>0</v>
      </c>
    </row>
    <row r="11" spans="1:2" ht="15" customHeight="1" x14ac:dyDescent="0.3">
      <c r="A11" s="8" t="s">
        <v>74</v>
      </c>
      <c r="B11" s="8">
        <f>B2-COUNTA('Test Seti'!G2:G21)</f>
        <v>20</v>
      </c>
    </row>
    <row r="12" spans="1:2" ht="15" customHeight="1" x14ac:dyDescent="0.3">
      <c r="A12" s="8" t="s">
        <v>75</v>
      </c>
      <c r="B12" s="9" t="str">
        <f>IF(B2-B11=0,"",B6/(B2-B11))</f>
        <v/>
      </c>
    </row>
    <row r="13" spans="1:2" ht="15" customHeight="1" x14ac:dyDescent="0.3">
      <c r="A13" s="8"/>
      <c r="B13" s="8"/>
    </row>
    <row r="14" spans="1:2" x14ac:dyDescent="0.3">
      <c r="A14" s="10" t="s">
        <v>76</v>
      </c>
      <c r="B14" s="8" t="str">
        <f>"20 soruda "&amp;B6&amp;" doğru, "&amp;B8&amp;" uydurma (hedef 0), "&amp;B9&amp;" eksik madde."</f>
        <v>20 soruda 0 doğru, 0 uydurma (hedef 0), 0 eksik madde.</v>
      </c>
    </row>
    <row r="15" spans="1:2" ht="15" customHeight="1" x14ac:dyDescent="0.3"/>
    <row r="16" spans="1:2" ht="15" customHeight="1" x14ac:dyDescent="0.3">
      <c r="A16" s="11" t="s">
        <v>77</v>
      </c>
    </row>
    <row r="17" spans="1:1" ht="15" customHeight="1" x14ac:dyDescent="0.3">
      <c r="A17" s="8" t="s">
        <v>78</v>
      </c>
    </row>
    <row r="18" spans="1:1" ht="15" customHeight="1" x14ac:dyDescent="0.3">
      <c r="A18" s="8" t="s">
        <v>79</v>
      </c>
    </row>
    <row r="19" spans="1:1" ht="15" customHeight="1" x14ac:dyDescent="0.3">
      <c r="A19" s="8" t="s">
        <v>80</v>
      </c>
    </row>
    <row r="20" spans="1:1" ht="15" customHeight="1" x14ac:dyDescent="0.3">
      <c r="A20" s="8" t="s">
        <v>81</v>
      </c>
    </row>
    <row r="21" spans="1:1" x14ac:dyDescent="0.3">
      <c r="A21" s="8" t="s">
        <v>82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Test Seti</vt:lpstr>
      <vt:lpstr>Özet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Ecem Topcu</cp:lastModifiedBy>
  <cp:revision>0</cp:revision>
  <dcterms:created xsi:type="dcterms:W3CDTF">2026-10-25T14:50:22Z</dcterms:created>
  <dcterms:modified xsi:type="dcterms:W3CDTF">2026-10-30T20:47:25Z</dcterms:modified>
  <dc:language>en-US</dc:language>
</cp:coreProperties>
</file>