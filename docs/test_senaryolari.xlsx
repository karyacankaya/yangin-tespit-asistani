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enaryolar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<sst xmlns="http://schemas.openxmlformats.org/spreadsheetml/2006/main" count="87" uniqueCount="82">
  <si>
    <t xml:space="preserve">TS No</t>
  </si>
  <si>
    <t xml:space="preserve">İlgili KK</t>
  </si>
  <si>
    <t xml:space="preserve">Ön koşul</t>
  </si>
  <si>
    <t xml:space="preserve">Adımlar</t>
  </si>
  <si>
    <t xml:space="preserve">Beklenen sonuç</t>
  </si>
  <si>
    <t xml:space="preserve">Gerçekleşen sonuç</t>
  </si>
  <si>
    <t xml:space="preserve">Durum</t>
  </si>
  <si>
    <t xml:space="preserve">TS-01</t>
  </si>
  <si>
    <t xml:space="preserve">KK-06</t>
  </si>
  <si>
    <t xml:space="preserve">Uygulama açık, günlük boş.</t>
  </si>
  <si>
    <t xml:space="preserve">1. Kenar çubuğundan "S1 Normal"i seç.
2. "Senaryoyu Başlat" düğmesine bas.
3. Senaryo bitene kadar ekranı izle.</t>
  </si>
  <si>
    <t xml:space="preserve">Hiçbir saniyede ŞÜPHELİ ya da DOĞRULANMIŞ görünmez, kutu hep yeşil NORMAL kalır. Günlükte alarm olayı yoktur.</t>
  </si>
  <si>
    <t xml:space="preserve">TS-02</t>
  </si>
  <si>
    <t xml:space="preserve">KK-02</t>
  </si>
  <si>
    <t xml:space="preserve">1. Kenar çubuğundan "S2 Yanlış Alarm"ı seç, "Senaryoyu Başlat" düğmesine bas.
2. Sensör değerleri yükselene kadar bekle.
3. İlk 60 saniye boyunca hiçbir düğmeye basmadan seviyeyi izle.</t>
  </si>
  <si>
    <t xml:space="preserve">Sensör yükselince seviye ŞÜPHELİ olur. Kamera doğrulaması gelmediği için ilk 60 saniye içinde DOĞRULANMIŞ'a atlamaz.</t>
  </si>
  <si>
    <t xml:space="preserve">TS-03</t>
  </si>
  <si>
    <t xml:space="preserve">KK-01</t>
  </si>
  <si>
    <t xml:space="preserve">S2 çalışıyor, seviye ŞÜPHELİ'ye düşmüş.</t>
  </si>
  <si>
    <t xml:space="preserve">1. ŞÜPHELİ kutusu görününce geri sayımı izle.
2. 60 saniye boyunca Onayla ve Reddet düğmelerine basma.</t>
  </si>
  <si>
    <t xml:space="preserve">60 saniye dolunca seviye otomatik olarak DOĞRULANMIŞ olur. Olay zaman damgasıyla günlüğe yazılır.</t>
  </si>
  <si>
    <t xml:space="preserve">TS-04</t>
  </si>
  <si>
    <t xml:space="preserve">S2 çalışıyor, seviye ŞÜPHELİ, geri sayım sürüyor.</t>
  </si>
  <si>
    <t xml:space="preserve">1. Geri sayım yaklaşık 50. saniyeye gelince "Reddet — yanlış alarm" düğmesine bas.
2. 60. saniyeyi geçene kadar ekranı izle.</t>
  </si>
  <si>
    <t xml:space="preserve">Geri sayım durur, seviye NORMAL'e döner, otomatik yükselme olmaz (sınır durumu).</t>
  </si>
  <si>
    <t xml:space="preserve">TS-05</t>
  </si>
  <si>
    <t xml:space="preserve">KK-03</t>
  </si>
  <si>
    <t xml:space="preserve">Asistan paneli açık (S3 çalışıyor, seviye DOĞRULANMIŞ).</t>
  </si>
  <si>
    <t xml:space="preserve">1. Soru kutusuna "Helikopter pisti nerede?" yaz, gönder.
2. Aynı şekilde Ecem'in test setindeki diğer 4 bilinmeyen soruyu da sor.</t>
  </si>
  <si>
    <t xml:space="preserve">Her birinde asistan "Bu konu bilgi tabanında kayıtlı değil, itfaiyenin talimatına uyun" der, tahmin ya da uydurma cevap vermez.</t>
  </si>
  <si>
    <t xml:space="preserve">TS-06</t>
  </si>
  <si>
    <t xml:space="preserve">KK-04</t>
  </si>
  <si>
    <t xml:space="preserve">S3 çalışıyor, seviye DOĞRULANMIŞ.</t>
  </si>
  <si>
    <t xml:space="preserve">1. Müdahale Asistanı bölümünü aç.
2. Her prosedür adımına tek tek bak.
3. Asistana bilgi tabanında olan bir soru sor (örn. "Yangında asansör kullanılır mı?").</t>
  </si>
  <si>
    <t xml:space="preserve">Her adımın yanında yönetmelik madde numarası görünür. Asistanın cevabı kaynak madde numarasıyla verilir.</t>
  </si>
  <si>
    <t xml:space="preserve">TS-07</t>
  </si>
  <si>
    <t xml:space="preserve">KK-05</t>
  </si>
  <si>
    <t xml:space="preserve">Üç senaryodan en az biri oynatılmış.</t>
  </si>
  <si>
    <t xml:space="preserve">1. Sayfanın altındaki olay günlüğü tablosunu aç.
2. Her satırın zaman sütununa bak.</t>
  </si>
  <si>
    <t xml:space="preserve">Tüm olay satırlarında zaman damgası vardır, boş zaman hücresi yoktur.</t>
  </si>
  <si>
    <t xml:space="preserve">TS-08</t>
  </si>
  <si>
    <t xml:space="preserve">Günlükte en az bir olay var.</t>
  </si>
  <si>
    <t xml:space="preserve">1. "Günlüğü CSV indir" düğmesine bas.
2. İnen dosyayı aç.</t>
  </si>
  <si>
    <t xml:space="preserve">CSV dosyası iner, tüm olaylar zaman damgalıdır ve ekrandaki tabloyla aynı sayıdadır.</t>
  </si>
  <si>
    <t xml:space="preserve">TS-09</t>
  </si>
  <si>
    <t xml:space="preserve">KK-07</t>
  </si>
  <si>
    <t xml:space="preserve">Uygulama açık.</t>
  </si>
  <si>
    <t xml:space="preserve">1. Kenar çubuğundan "S3 Gerçek Yangın"ı seç, "Senaryoyu Başlat" düğmesine bas.
2. Hem sensör hem kamera olasılığı yükselene kadar izle.</t>
  </si>
  <si>
    <t xml:space="preserve">Sensör ve kamera olasılığı ikisi de 0,80'in üzerine çıkınca seviye DOĞRULANMIŞ olur.</t>
  </si>
  <si>
    <t xml:space="preserve">TS-10</t>
  </si>
  <si>
    <t xml:space="preserve">S3 çalışıyor, günlük açık.</t>
  </si>
  <si>
    <t xml:space="preserve">1. S3 senaryosunu baştan sona oynat.
2. Günlükte duman ve alev sinyali zamanlarına bak.</t>
  </si>
  <si>
    <t xml:space="preserve">Duman sinyali zamanı alev sinyali zamanından önce görünür (erken tespit kanıtı).</t>
  </si>
  <si>
    <t xml:space="preserve">TS-11</t>
  </si>
  <si>
    <t xml:space="preserve">KK-08</t>
  </si>
  <si>
    <t xml:space="preserve">S2 çalışıyor, seviye ŞÜPHELİ.</t>
  </si>
  <si>
    <t xml:space="preserve">1. "Reddet — yanlış alarm" düğmesine bas.
2. Seviyeye ve günlüğe bak.</t>
  </si>
  <si>
    <t xml:space="preserve">Seviye NORMAL'e döner. Günlüğe olay "yanlış alarm" olarak, zaman damgasıyla yazılır.</t>
  </si>
  <si>
    <t xml:space="preserve">TS-12</t>
  </si>
  <si>
    <t xml:space="preserve">KK-09</t>
  </si>
  <si>
    <t xml:space="preserve">S3 çalışıyor, asistan paneli açık, ilk adım görünüyor.</t>
  </si>
  <si>
    <t xml:space="preserve">1. "Tamamlandı" düğmesine basmadan ekranda ikinci adımı ara.
2. İlk adımda "Tamamlandı" düğmesine bas.</t>
  </si>
  <si>
    <t xml:space="preserve">Düğmeye basmadan ikinci adım görünmez. Bastıktan sonra ikinci adım görünür.</t>
  </si>
  <si>
    <t xml:space="preserve">TS-13</t>
  </si>
  <si>
    <t xml:space="preserve">KK-10</t>
  </si>
  <si>
    <t xml:space="preserve">Uygulama açık, ekran kaydı açık.</t>
  </si>
  <si>
    <t xml:space="preserve">1. S3 senaryosunu başlat.
2. Ekran kaydında her saniyelik sensör ve kamera verisinin seviyeye yansıma süresine bak.</t>
  </si>
  <si>
    <t xml:space="preserve">Birleşik karar (seviye kutusu) her veri satırından en geç 2 saniye sonra güncellenir.</t>
  </si>
  <si>
    <t xml:space="preserve">TS-14</t>
  </si>
  <si>
    <t xml:space="preserve">KK-11</t>
  </si>
  <si>
    <t xml:space="preserve">1. Müdahale Asistanı'nda itfaiye bildirimini tetikle.
2. Günlüğe bak.</t>
  </si>
  <si>
    <t xml:space="preserve">Günlüğe "112 ARANDI (SİMÜLASYON)" yazılır. Gerçek bir arama yapılmaz.</t>
  </si>
  <si>
    <t xml:space="preserve">TS-15</t>
  </si>
  <si>
    <t xml:space="preserve">KK-12</t>
  </si>
  <si>
    <t xml:space="preserve">Büşra'nın sensör notebook'u (02_sensor_modeller) çalışır durumda.</t>
  </si>
  <si>
    <t xml:space="preserve">1. Notebook'u aç.
2. Test setinde recall hesabını çalıştır.</t>
  </si>
  <si>
    <t xml:space="preserve">Test setinde yangın tespitinde recall en az 0,95 çıkar.</t>
  </si>
  <si>
    <t xml:space="preserve">Toplam test</t>
  </si>
  <si>
    <t xml:space="preserve">GEÇTİ</t>
  </si>
  <si>
    <t xml:space="preserve">KALDI</t>
  </si>
  <si>
    <t xml:space="preserve">Henüz koşulmadı</t>
  </si>
  <si>
    <t xml:space="preserve">Açıklama: Sarı hücreler (Gerçekleşen sonuç, Durum) test koşusunda (H13) doldurulacak. Durum sütunundan GEÇTİ ya da KALDI seçilir.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</si>
</sst>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4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4.5" hidden="false" customHeight="true" outlineLevel="0" collapsed="false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/>
      <c r="G2" s="7"/>
    </row>
    <row r="3" customFormat="false" ht="57" hidden="false" customHeight="true" outlineLevel="0" collapsed="false">
      <c r="A3" s="3" t="s">
        <v>12</v>
      </c>
      <c r="B3" s="4" t="s">
        <v>13</v>
      </c>
      <c r="C3" s="5" t="s">
        <v>9</v>
      </c>
      <c r="D3" s="5" t="s">
        <v>14</v>
      </c>
      <c r="E3" s="5" t="s">
        <v>15</v>
      </c>
      <c r="F3" s="6"/>
      <c r="G3" s="7"/>
    </row>
    <row r="4" customFormat="false" ht="34.5" hidden="false" customHeight="true" outlineLevel="0" collapsed="false">
      <c r="A4" s="3" t="s">
        <v>16</v>
      </c>
      <c r="B4" s="4" t="s">
        <v>17</v>
      </c>
      <c r="C4" s="5" t="s">
        <v>18</v>
      </c>
      <c r="D4" s="5" t="s">
        <v>19</v>
      </c>
      <c r="E4" s="5" t="s">
        <v>20</v>
      </c>
      <c r="F4" s="6"/>
      <c r="G4" s="7"/>
    </row>
    <row r="5" customFormat="false" ht="34.5" hidden="false" customHeight="true" outlineLevel="0" collapsed="false">
      <c r="A5" s="3" t="s">
        <v>21</v>
      </c>
      <c r="B5" s="4" t="s">
        <v>17</v>
      </c>
      <c r="C5" s="5" t="s">
        <v>22</v>
      </c>
      <c r="D5" s="5" t="s">
        <v>23</v>
      </c>
      <c r="E5" s="5" t="s">
        <v>24</v>
      </c>
      <c r="F5" s="6"/>
      <c r="G5" s="7"/>
    </row>
    <row r="6" customFormat="false" ht="34.5" hidden="false" customHeight="true" outlineLevel="0" collapsed="false">
      <c r="A6" s="3" t="s">
        <v>25</v>
      </c>
      <c r="B6" s="4" t="s">
        <v>26</v>
      </c>
      <c r="C6" s="5" t="s">
        <v>27</v>
      </c>
      <c r="D6" s="5" t="s">
        <v>28</v>
      </c>
      <c r="E6" s="5" t="s">
        <v>29</v>
      </c>
      <c r="F6" s="6"/>
      <c r="G6" s="7"/>
    </row>
    <row r="7" customFormat="false" ht="45.75" hidden="false" customHeight="true" outlineLevel="0" collapsed="false">
      <c r="A7" s="3" t="s">
        <v>30</v>
      </c>
      <c r="B7" s="4" t="s">
        <v>31</v>
      </c>
      <c r="C7" s="5" t="s">
        <v>32</v>
      </c>
      <c r="D7" s="5" t="s">
        <v>33</v>
      </c>
      <c r="E7" s="5" t="s">
        <v>34</v>
      </c>
      <c r="F7" s="6"/>
      <c r="G7" s="7"/>
    </row>
    <row r="8" customFormat="false" ht="23.25" hidden="false" customHeight="true" outlineLevel="0" collapsed="false">
      <c r="A8" s="3" t="s">
        <v>35</v>
      </c>
      <c r="B8" s="4" t="s">
        <v>36</v>
      </c>
      <c r="C8" s="5" t="s">
        <v>37</v>
      </c>
      <c r="D8" s="5" t="s">
        <v>38</v>
      </c>
      <c r="E8" s="5" t="s">
        <v>39</v>
      </c>
      <c r="F8" s="6"/>
      <c r="G8" s="7"/>
    </row>
    <row r="9" customFormat="false" ht="23.25" hidden="false" customHeight="true" outlineLevel="0" collapsed="false">
      <c r="A9" s="3" t="s">
        <v>40</v>
      </c>
      <c r="B9" s="4" t="s">
        <v>36</v>
      </c>
      <c r="C9" s="5" t="s">
        <v>41</v>
      </c>
      <c r="D9" s="5" t="s">
        <v>42</v>
      </c>
      <c r="E9" s="5" t="s">
        <v>43</v>
      </c>
      <c r="F9" s="6"/>
      <c r="G9" s="7"/>
    </row>
    <row r="10" customFormat="false" ht="34.5" hidden="false" customHeight="true" outlineLevel="0" collapsed="false">
      <c r="A10" s="3" t="s">
        <v>44</v>
      </c>
      <c r="B10" s="4" t="s">
        <v>45</v>
      </c>
      <c r="C10" s="5" t="s">
        <v>46</v>
      </c>
      <c r="D10" s="5" t="s">
        <v>47</v>
      </c>
      <c r="E10" s="5" t="s">
        <v>48</v>
      </c>
      <c r="F10" s="6"/>
      <c r="G10" s="7"/>
    </row>
    <row r="11" customFormat="false" ht="23.25" hidden="false" customHeight="true" outlineLevel="0" collapsed="false">
      <c r="A11" s="3" t="s">
        <v>49</v>
      </c>
      <c r="B11" s="4" t="s">
        <v>45</v>
      </c>
      <c r="C11" s="5" t="s">
        <v>50</v>
      </c>
      <c r="D11" s="5" t="s">
        <v>51</v>
      </c>
      <c r="E11" s="5" t="s">
        <v>52</v>
      </c>
      <c r="F11" s="6"/>
      <c r="G11" s="7"/>
    </row>
    <row r="12" customFormat="false" ht="23.25" hidden="false" customHeight="true" outlineLevel="0" collapsed="false">
      <c r="A12" s="3" t="s">
        <v>53</v>
      </c>
      <c r="B12" s="4" t="s">
        <v>54</v>
      </c>
      <c r="C12" s="5" t="s">
        <v>55</v>
      </c>
      <c r="D12" s="5" t="s">
        <v>56</v>
      </c>
      <c r="E12" s="5" t="s">
        <v>57</v>
      </c>
      <c r="F12" s="6"/>
      <c r="G12" s="7"/>
    </row>
    <row r="13" customFormat="false" ht="34.5" hidden="false" customHeight="true" outlineLevel="0" collapsed="false">
      <c r="A13" s="3" t="s">
        <v>58</v>
      </c>
      <c r="B13" s="4" t="s">
        <v>59</v>
      </c>
      <c r="C13" s="5" t="s">
        <v>60</v>
      </c>
      <c r="D13" s="5" t="s">
        <v>61</v>
      </c>
      <c r="E13" s="5" t="s">
        <v>62</v>
      </c>
      <c r="F13" s="6"/>
      <c r="G13" s="7"/>
    </row>
    <row r="14" customFormat="false" ht="34.5" hidden="false" customHeight="true" outlineLevel="0" collapsed="false">
      <c r="A14" s="3" t="s">
        <v>63</v>
      </c>
      <c r="B14" s="4" t="s">
        <v>64</v>
      </c>
      <c r="C14" s="5" t="s">
        <v>65</v>
      </c>
      <c r="D14" s="5" t="s">
        <v>66</v>
      </c>
      <c r="E14" s="5" t="s">
        <v>67</v>
      </c>
      <c r="F14" s="6"/>
      <c r="G14" s="7"/>
    </row>
    <row r="15" customFormat="false" ht="23.25" hidden="false" customHeight="true" outlineLevel="0" collapsed="false">
      <c r="A15" s="3" t="s">
        <v>68</v>
      </c>
      <c r="B15" s="4" t="s">
        <v>69</v>
      </c>
      <c r="C15" s="5" t="s">
        <v>32</v>
      </c>
      <c r="D15" s="5" t="s">
        <v>70</v>
      </c>
      <c r="E15" s="5" t="s">
        <v>71</v>
      </c>
      <c r="F15" s="6"/>
      <c r="G15" s="7"/>
    </row>
    <row r="16" customFormat="false" ht="34.5" hidden="false" customHeight="true" outlineLevel="0" collapsed="false">
      <c r="A16" s="3" t="s">
        <v>72</v>
      </c>
      <c r="B16" s="4" t="s">
        <v>73</v>
      </c>
      <c r="C16" s="5" t="s">
        <v>74</v>
      </c>
      <c r="D16" s="5" t="s">
        <v>75</v>
      </c>
      <c r="E16" s="5" t="s">
        <v>76</v>
      </c>
      <c r="F16" s="6"/>
      <c r="G16" s="7"/>
    </row>
    <row r="18" customFormat="false" ht="15" hidden="false" customHeight="true" outlineLevel="0" collapsed="false">
      <c r="A18" s="8"/>
      <c r="B18" s="9"/>
      <c r="C18" s="10" t="s">
        <v>77</v>
      </c>
      <c r="D18" s="9" t="n">
        <f aca="false">COUNTA(A2:A16)</f>
        <v>15</v>
      </c>
    </row>
    <row r="19" customFormat="false" ht="15" hidden="false" customHeight="true" outlineLevel="0" collapsed="false">
      <c r="A19" s="8"/>
      <c r="B19" s="9"/>
      <c r="C19" s="10" t="s">
        <v>78</v>
      </c>
      <c r="D19" s="9" t="n">
        <f aca="false">COUNTIF(G2:G16,"GEÇTİ")</f>
        <v>0</v>
      </c>
    </row>
    <row r="20" customFormat="false" ht="15" hidden="false" customHeight="true" outlineLevel="0" collapsed="false">
      <c r="A20" s="8"/>
      <c r="B20" s="9"/>
      <c r="C20" s="10" t="s">
        <v>79</v>
      </c>
      <c r="D20" s="9" t="n">
        <f aca="false">COUNTIF(G2:G16,"KALDI")</f>
        <v>0</v>
      </c>
    </row>
    <row r="21" customFormat="false" ht="15" hidden="false" customHeight="true" outlineLevel="0" collapsed="false">
      <c r="A21" s="8"/>
      <c r="B21" s="9"/>
      <c r="C21" s="10" t="s">
        <v>80</v>
      </c>
      <c r="D21" s="9" t="n">
        <f aca="false">D18-D19-D20</f>
        <v>15</v>
      </c>
    </row>
    <row r="23" customFormat="false" ht="15" hidden="false" customHeight="true" outlineLevel="0" collapsed="false">
      <c r="A23" s="11"/>
      <c r="C23" s="12" t="s">
        <v>81</v>
      </c>
    </row>
  </sheetData>
  <conditionalFormatting sqref="G2:G16">
    <cfRule type="cellIs" priority="2" operator="equal" aboveAverage="0" equalAverage="0" bottom="0" percent="0" rank="0" text="" dxfId="0">
      <formula>"GEÇTİ"</formula>
    </cfRule>
    <cfRule type="cellIs" priority="3" operator="equal" aboveAverage="0" equalAverage="0" bottom="0" percent="0" rank="0" text="" dxfId="1">
      <formula>"KALDI"</formula>
    </cfRule>
  </conditionalFormatting>
  <dataValidations count="1">
    <dataValidation allowBlank="true" errorStyle="stop" operator="between" showDropDown="false" showErrorMessage="false" showInputMessage="false" sqref="G2:G16" type="list">
      <formula1>"GEÇTİ,KALDI"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2026-10-22T20:32:27Z</dcterms:created>
  <dc:creator>openpyxl</dc:creator>
  <dc:description/>
  <dc:language>en-US</dc:language>
  <cp:lastModifiedBy/>
  <dcterms:modified xsi:type="dcterms:W3CDTF">2026-10-22T20:32:38Z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